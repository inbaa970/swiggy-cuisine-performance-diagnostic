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0" yWindow="630" windowWidth="16935" windowHeight="9150"/>
  </bookViews>
  <sheets>
    <sheet name="monthly data" sheetId="1" r:id="rId1"/>
    <sheet name="Pivot Table 1" sheetId="2" r:id="rId2"/>
    <sheet name="cuisine summary" sheetId="3" r:id="rId3"/>
    <sheet name="cuisine targets" sheetId="4" r:id="rId4"/>
  </sheets>
  <calcPr calcId="125725"/>
  <pivotCaches>
    <pivotCache cacheId="11" r:id="rId5"/>
  </pivotCaches>
</workbook>
</file>

<file path=xl/calcChain.xml><?xml version="1.0" encoding="utf-8"?>
<calcChain xmlns="http://schemas.openxmlformats.org/spreadsheetml/2006/main">
  <c r="C7" i="3"/>
  <c r="D7" s="1"/>
  <c r="C6"/>
  <c r="E6" s="1"/>
  <c r="C5"/>
  <c r="D5" s="1"/>
  <c r="C4"/>
  <c r="B4"/>
  <c r="C3"/>
  <c r="E3" s="1"/>
  <c r="C2"/>
  <c r="B2"/>
  <c r="D4" l="1"/>
  <c r="E2"/>
  <c r="E4"/>
  <c r="F4"/>
  <c r="D3"/>
  <c r="D2"/>
  <c r="F3"/>
  <c r="D6"/>
  <c r="F7"/>
  <c r="E7"/>
  <c r="F5"/>
  <c r="F2"/>
  <c r="E5"/>
  <c r="F6"/>
</calcChain>
</file>

<file path=xl/sharedStrings.xml><?xml version="1.0" encoding="utf-8"?>
<sst xmlns="http://schemas.openxmlformats.org/spreadsheetml/2006/main" count="78" uniqueCount="30">
  <si>
    <t>cuisine</t>
  </si>
  <si>
    <t>month</t>
  </si>
  <si>
    <t>order_count</t>
  </si>
  <si>
    <t>total_revenue</t>
  </si>
  <si>
    <t>avg_revenue</t>
  </si>
  <si>
    <t>Chinese</t>
  </si>
  <si>
    <t>target_revenue_inr</t>
  </si>
  <si>
    <t>variance</t>
  </si>
  <si>
    <t>percentage_variance</t>
  </si>
  <si>
    <t>target_status</t>
  </si>
  <si>
    <t>matches part a SQL total</t>
  </si>
  <si>
    <t>north indian</t>
  </si>
  <si>
    <t>Desserts</t>
  </si>
  <si>
    <t>A (cuisine)</t>
  </si>
  <si>
    <t>B (target_revenue_inr)</t>
  </si>
  <si>
    <t>Fast Food</t>
  </si>
  <si>
    <t>North Indian</t>
  </si>
  <si>
    <t>South Indian</t>
  </si>
  <si>
    <t>Italian</t>
  </si>
  <si>
    <t>yes</t>
  </si>
  <si>
    <t>chinese</t>
  </si>
  <si>
    <t>south indian</t>
  </si>
  <si>
    <t>SUM of total_revenue</t>
  </si>
  <si>
    <t>fast food</t>
  </si>
  <si>
    <t>SUM of order_count</t>
  </si>
  <si>
    <t>desserts</t>
  </si>
  <si>
    <t>Grand Total</t>
  </si>
  <si>
    <t>italian</t>
  </si>
  <si>
    <t/>
  </si>
  <si>
    <t>(blank)</t>
  </si>
</sst>
</file>

<file path=xl/styles.xml><?xml version="1.0" encoding="utf-8"?>
<styleSheet xmlns="http://schemas.openxmlformats.org/spreadsheetml/2006/main">
  <numFmts count="1">
    <numFmt numFmtId="164" formatCode="yyyy\-mm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/>
    <xf numFmtId="0" fontId="0" fillId="0" borderId="1" xfId="0" applyFont="1" applyBorder="1" applyAlignment="1"/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1" xfId="0" applyNumberFormat="1" applyFont="1" applyBorder="1" applyAlignment="1"/>
    <xf numFmtId="0" fontId="0" fillId="0" borderId="3" xfId="0" applyNumberFormat="1" applyFont="1" applyBorder="1" applyAlignment="1"/>
    <xf numFmtId="0" fontId="0" fillId="0" borderId="4" xfId="0" applyFont="1" applyBorder="1" applyAlignment="1"/>
    <xf numFmtId="0" fontId="0" fillId="0" borderId="4" xfId="0" applyNumberFormat="1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6" xfId="0" applyNumberFormat="1" applyFont="1" applyBorder="1" applyAlignment="1"/>
    <xf numFmtId="0" fontId="0" fillId="0" borderId="7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User" refreshedDate="46243.491768171298" refreshedVersion="3" recordCount="35">
  <cacheSource type="worksheet">
    <worksheetSource ref="A1:E1000" sheet="monthly data"/>
  </cacheSource>
  <cacheFields count="5">
    <cacheField name="cuisine" numFmtId="0">
      <sharedItems containsBlank="1" count="7">
        <s v="Chinese"/>
        <s v="Desserts"/>
        <s v="Fast Food"/>
        <s v="Italian"/>
        <s v="North Indian"/>
        <s v="South Indian"/>
        <m/>
      </sharedItems>
    </cacheField>
    <cacheField name="month" numFmtId="0">
      <sharedItems containsNonDate="0" containsDate="1" containsString="0" containsBlank="1" minDate="2026-01-01T00:00:00" maxDate="2026-06-02T00:00:00"/>
    </cacheField>
    <cacheField name="order_count" numFmtId="0">
      <sharedItems containsString="0" containsBlank="1" containsNumber="1" containsInteger="1" minValue="1" maxValue="27"/>
    </cacheField>
    <cacheField name="total_revenue" numFmtId="0">
      <sharedItems containsString="0" containsBlank="1" containsNumber="1" containsInteger="1" minValue="1142" maxValue="41132"/>
    </cacheField>
    <cacheField name="avg_revenue" numFmtId="0">
      <sharedItems containsString="0" containsBlank="1" containsNumber="1" minValue="902" maxValue="1970.6666666666599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">
  <r>
    <x v="0"/>
    <d v="2026-01-01T00:00:00"/>
    <n v="16"/>
    <n v="24583"/>
    <n v="1536.4375"/>
  </r>
  <r>
    <x v="0"/>
    <d v="2026-02-01T00:00:00"/>
    <n v="16"/>
    <n v="20381"/>
    <n v="1273.8125"/>
  </r>
  <r>
    <x v="0"/>
    <d v="2026-03-01T00:00:00"/>
    <n v="16"/>
    <n v="20273"/>
    <n v="1267.0625"/>
  </r>
  <r>
    <x v="0"/>
    <d v="2026-04-01T00:00:00"/>
    <n v="15"/>
    <n v="18695"/>
    <n v="1246.3333333333301"/>
  </r>
  <r>
    <x v="0"/>
    <d v="2026-05-01T00:00:00"/>
    <n v="10"/>
    <n v="14677"/>
    <n v="1467.7"/>
  </r>
  <r>
    <x v="0"/>
    <d v="2026-06-01T00:00:00"/>
    <n v="18"/>
    <n v="29231"/>
    <n v="1623.94444444444"/>
  </r>
  <r>
    <x v="1"/>
    <d v="2026-01-01T00:00:00"/>
    <n v="3"/>
    <n v="5706"/>
    <n v="1902"/>
  </r>
  <r>
    <x v="1"/>
    <d v="2026-02-01T00:00:00"/>
    <n v="3"/>
    <n v="3953"/>
    <n v="1317.6666666666599"/>
  </r>
  <r>
    <x v="1"/>
    <d v="2026-03-01T00:00:00"/>
    <n v="2"/>
    <n v="2809"/>
    <n v="1404.5"/>
  </r>
  <r>
    <x v="1"/>
    <d v="2026-05-01T00:00:00"/>
    <n v="4"/>
    <n v="5633"/>
    <n v="1408.25"/>
  </r>
  <r>
    <x v="1"/>
    <d v="2026-06-01T00:00:00"/>
    <n v="1"/>
    <n v="1593"/>
    <n v="1593"/>
  </r>
  <r>
    <x v="2"/>
    <d v="2026-01-01T00:00:00"/>
    <n v="10"/>
    <n v="10499"/>
    <n v="1049.9000000000001"/>
  </r>
  <r>
    <x v="2"/>
    <d v="2026-02-01T00:00:00"/>
    <n v="5"/>
    <n v="6277"/>
    <n v="1255.4000000000001"/>
  </r>
  <r>
    <x v="2"/>
    <d v="2026-03-01T00:00:00"/>
    <n v="9"/>
    <n v="10495"/>
    <n v="1166.1111111111099"/>
  </r>
  <r>
    <x v="2"/>
    <d v="2026-04-01T00:00:00"/>
    <n v="8"/>
    <n v="14644"/>
    <n v="1830.5"/>
  </r>
  <r>
    <x v="2"/>
    <d v="2026-05-01T00:00:00"/>
    <n v="6"/>
    <n v="8546"/>
    <n v="1424.3333333333301"/>
  </r>
  <r>
    <x v="2"/>
    <d v="2026-06-01T00:00:00"/>
    <n v="4"/>
    <n v="4662"/>
    <n v="1165.5"/>
  </r>
  <r>
    <x v="3"/>
    <d v="2026-01-01T00:00:00"/>
    <n v="1"/>
    <n v="1716"/>
    <n v="1716"/>
  </r>
  <r>
    <x v="3"/>
    <d v="2026-02-01T00:00:00"/>
    <n v="1"/>
    <n v="1142"/>
    <n v="1142"/>
  </r>
  <r>
    <x v="3"/>
    <d v="2026-04-01T00:00:00"/>
    <n v="5"/>
    <n v="4510"/>
    <n v="902"/>
  </r>
  <r>
    <x v="3"/>
    <d v="2026-05-01T00:00:00"/>
    <n v="1"/>
    <n v="1455"/>
    <n v="1455"/>
  </r>
  <r>
    <x v="3"/>
    <d v="2026-06-01T00:00:00"/>
    <n v="3"/>
    <n v="5912"/>
    <n v="1970.6666666666599"/>
  </r>
  <r>
    <x v="4"/>
    <d v="2026-01-01T00:00:00"/>
    <n v="25"/>
    <n v="37468"/>
    <n v="1498.72"/>
  </r>
  <r>
    <x v="4"/>
    <d v="2026-02-01T00:00:00"/>
    <n v="26"/>
    <n v="38819"/>
    <n v="1493.0384615384601"/>
  </r>
  <r>
    <x v="4"/>
    <d v="2026-03-01T00:00:00"/>
    <n v="25"/>
    <n v="25803"/>
    <n v="1032.1199999999999"/>
  </r>
  <r>
    <x v="4"/>
    <d v="2026-04-01T00:00:00"/>
    <n v="27"/>
    <n v="39368"/>
    <n v="1458.07407407407"/>
  </r>
  <r>
    <x v="4"/>
    <d v="2026-05-01T00:00:00"/>
    <n v="24"/>
    <n v="33707"/>
    <n v="1404.4583333333301"/>
  </r>
  <r>
    <x v="4"/>
    <d v="2026-06-01T00:00:00"/>
    <n v="27"/>
    <n v="41132"/>
    <n v="1523.4074074073999"/>
  </r>
  <r>
    <x v="5"/>
    <d v="2026-01-01T00:00:00"/>
    <n v="3"/>
    <n v="3339"/>
    <n v="1113"/>
  </r>
  <r>
    <x v="5"/>
    <d v="2026-02-01T00:00:00"/>
    <n v="9"/>
    <n v="11754"/>
    <n v="1306"/>
  </r>
  <r>
    <x v="5"/>
    <d v="2026-03-01T00:00:00"/>
    <n v="10"/>
    <n v="14818"/>
    <n v="1481.8"/>
  </r>
  <r>
    <x v="5"/>
    <d v="2026-04-01T00:00:00"/>
    <n v="8"/>
    <n v="10542"/>
    <n v="1317.75"/>
  </r>
  <r>
    <x v="5"/>
    <d v="2026-05-01T00:00:00"/>
    <n v="7"/>
    <n v="10130"/>
    <n v="1447.1428571428501"/>
  </r>
  <r>
    <x v="5"/>
    <d v="2026-06-01T00:00:00"/>
    <n v="10"/>
    <n v="12834"/>
    <n v="1283.4000000000001"/>
  </r>
  <r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11" applyNumberFormats="0" applyBorderFormats="0" applyFontFormats="0" applyPatternFormats="0" applyAlignmentFormats="0" applyWidthHeightFormats="0" dataCaption="" updatedVersion="3" compact="0" compactData="0">
  <location ref="A1:C10" firstHeaderRow="1" firstDataRow="2" firstDataCol="1"/>
  <pivotFields count="5">
    <pivotField name="cuisine" axis="axisRow" compact="0" outline="0" multipleItemSelectionAllowed="1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name="month" compact="0" numFmtId="164" outline="0" multipleItemSelectionAllowed="1" showAll="0"/>
    <pivotField name="order_count" dataField="1" compact="0" outline="0" multipleItemSelectionAllowed="1" showAll="0"/>
    <pivotField name="total_revenue" dataField="1" compact="0" outline="0" multipleItemSelectionAllowed="1" showAll="0"/>
    <pivotField name="avg_revenue" compact="0" outline="0" multipleItemSelectionAllowe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3" baseField="0"/>
    <dataField name="SUM of order_count" fld="2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35"/>
  <sheetViews>
    <sheetView tabSelected="1" workbookViewId="0">
      <selection activeCell="H10" sqref="H10"/>
    </sheetView>
  </sheetViews>
  <sheetFormatPr defaultColWidth="12.5703125" defaultRowHeight="15.75" customHeight="1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>
        <v>46023</v>
      </c>
      <c r="C2" s="1">
        <v>16</v>
      </c>
      <c r="D2" s="1">
        <v>24583</v>
      </c>
      <c r="E2" s="1">
        <v>1536.4375</v>
      </c>
    </row>
    <row r="3" spans="1:5">
      <c r="A3" s="1" t="s">
        <v>5</v>
      </c>
      <c r="B3" s="2">
        <v>46054</v>
      </c>
      <c r="C3" s="1">
        <v>16</v>
      </c>
      <c r="D3" s="1">
        <v>20381</v>
      </c>
      <c r="E3" s="1">
        <v>1273.8125</v>
      </c>
    </row>
    <row r="4" spans="1:5">
      <c r="A4" s="1" t="s">
        <v>5</v>
      </c>
      <c r="B4" s="2">
        <v>46082</v>
      </c>
      <c r="C4" s="1">
        <v>16</v>
      </c>
      <c r="D4" s="1">
        <v>20273</v>
      </c>
      <c r="E4" s="1">
        <v>1267.0625</v>
      </c>
    </row>
    <row r="5" spans="1:5">
      <c r="A5" s="1" t="s">
        <v>5</v>
      </c>
      <c r="B5" s="2">
        <v>46113</v>
      </c>
      <c r="C5" s="1">
        <v>15</v>
      </c>
      <c r="D5" s="1">
        <v>18695</v>
      </c>
      <c r="E5" s="1">
        <v>1246.3333333333301</v>
      </c>
    </row>
    <row r="6" spans="1:5">
      <c r="A6" s="1" t="s">
        <v>5</v>
      </c>
      <c r="B6" s="2">
        <v>46143</v>
      </c>
      <c r="C6" s="1">
        <v>10</v>
      </c>
      <c r="D6" s="1">
        <v>14677</v>
      </c>
      <c r="E6" s="1">
        <v>1467.7</v>
      </c>
    </row>
    <row r="7" spans="1:5">
      <c r="A7" s="1" t="s">
        <v>5</v>
      </c>
      <c r="B7" s="2">
        <v>46174</v>
      </c>
      <c r="C7" s="1">
        <v>18</v>
      </c>
      <c r="D7" s="1">
        <v>29231</v>
      </c>
      <c r="E7" s="1">
        <v>1623.94444444444</v>
      </c>
    </row>
    <row r="8" spans="1:5">
      <c r="A8" s="1" t="s">
        <v>12</v>
      </c>
      <c r="B8" s="2">
        <v>46023</v>
      </c>
      <c r="C8" s="1">
        <v>3</v>
      </c>
      <c r="D8" s="1">
        <v>5706</v>
      </c>
      <c r="E8" s="1">
        <v>1902</v>
      </c>
    </row>
    <row r="9" spans="1:5">
      <c r="A9" s="1" t="s">
        <v>12</v>
      </c>
      <c r="B9" s="2">
        <v>46054</v>
      </c>
      <c r="C9" s="1">
        <v>3</v>
      </c>
      <c r="D9" s="1">
        <v>3953</v>
      </c>
      <c r="E9" s="1">
        <v>1317.6666666666599</v>
      </c>
    </row>
    <row r="10" spans="1:5">
      <c r="A10" s="1" t="s">
        <v>12</v>
      </c>
      <c r="B10" s="2">
        <v>46082</v>
      </c>
      <c r="C10" s="1">
        <v>2</v>
      </c>
      <c r="D10" s="1">
        <v>2809</v>
      </c>
      <c r="E10" s="1">
        <v>1404.5</v>
      </c>
    </row>
    <row r="11" spans="1:5">
      <c r="A11" s="1" t="s">
        <v>12</v>
      </c>
      <c r="B11" s="2">
        <v>46143</v>
      </c>
      <c r="C11" s="1">
        <v>4</v>
      </c>
      <c r="D11" s="1">
        <v>5633</v>
      </c>
      <c r="E11" s="1">
        <v>1408.25</v>
      </c>
    </row>
    <row r="12" spans="1:5">
      <c r="A12" s="1" t="s">
        <v>12</v>
      </c>
      <c r="B12" s="2">
        <v>46174</v>
      </c>
      <c r="C12" s="1">
        <v>1</v>
      </c>
      <c r="D12" s="1">
        <v>1593</v>
      </c>
      <c r="E12" s="1">
        <v>1593</v>
      </c>
    </row>
    <row r="13" spans="1:5">
      <c r="A13" s="1" t="s">
        <v>15</v>
      </c>
      <c r="B13" s="2">
        <v>46023</v>
      </c>
      <c r="C13" s="1">
        <v>10</v>
      </c>
      <c r="D13" s="1">
        <v>10499</v>
      </c>
      <c r="E13" s="1">
        <v>1049.9000000000001</v>
      </c>
    </row>
    <row r="14" spans="1:5">
      <c r="A14" s="1" t="s">
        <v>15</v>
      </c>
      <c r="B14" s="2">
        <v>46054</v>
      </c>
      <c r="C14" s="1">
        <v>5</v>
      </c>
      <c r="D14" s="1">
        <v>6277</v>
      </c>
      <c r="E14" s="1">
        <v>1255.4000000000001</v>
      </c>
    </row>
    <row r="15" spans="1:5">
      <c r="A15" s="1" t="s">
        <v>15</v>
      </c>
      <c r="B15" s="2">
        <v>46082</v>
      </c>
      <c r="C15" s="1">
        <v>9</v>
      </c>
      <c r="D15" s="1">
        <v>10495</v>
      </c>
      <c r="E15" s="1">
        <v>1166.1111111111099</v>
      </c>
    </row>
    <row r="16" spans="1:5">
      <c r="A16" s="1" t="s">
        <v>15</v>
      </c>
      <c r="B16" s="2">
        <v>46113</v>
      </c>
      <c r="C16" s="1">
        <v>8</v>
      </c>
      <c r="D16" s="1">
        <v>14644</v>
      </c>
      <c r="E16" s="1">
        <v>1830.5</v>
      </c>
    </row>
    <row r="17" spans="1:5">
      <c r="A17" s="1" t="s">
        <v>15</v>
      </c>
      <c r="B17" s="2">
        <v>46143</v>
      </c>
      <c r="C17" s="1">
        <v>6</v>
      </c>
      <c r="D17" s="1">
        <v>8546</v>
      </c>
      <c r="E17" s="1">
        <v>1424.3333333333301</v>
      </c>
    </row>
    <row r="18" spans="1:5">
      <c r="A18" s="1" t="s">
        <v>15</v>
      </c>
      <c r="B18" s="2">
        <v>46174</v>
      </c>
      <c r="C18" s="1">
        <v>4</v>
      </c>
      <c r="D18" s="1">
        <v>4662</v>
      </c>
      <c r="E18" s="1">
        <v>1165.5</v>
      </c>
    </row>
    <row r="19" spans="1:5">
      <c r="A19" s="1" t="s">
        <v>18</v>
      </c>
      <c r="B19" s="2">
        <v>46023</v>
      </c>
      <c r="C19" s="1">
        <v>1</v>
      </c>
      <c r="D19" s="1">
        <v>1716</v>
      </c>
      <c r="E19" s="1">
        <v>1716</v>
      </c>
    </row>
    <row r="20" spans="1:5">
      <c r="A20" s="1" t="s">
        <v>18</v>
      </c>
      <c r="B20" s="2">
        <v>46054</v>
      </c>
      <c r="C20" s="1">
        <v>1</v>
      </c>
      <c r="D20" s="1">
        <v>1142</v>
      </c>
      <c r="E20" s="1">
        <v>1142</v>
      </c>
    </row>
    <row r="21" spans="1:5">
      <c r="A21" s="1" t="s">
        <v>18</v>
      </c>
      <c r="B21" s="2">
        <v>46113</v>
      </c>
      <c r="C21" s="1">
        <v>5</v>
      </c>
      <c r="D21" s="1">
        <v>4510</v>
      </c>
      <c r="E21" s="1">
        <v>902</v>
      </c>
    </row>
    <row r="22" spans="1:5">
      <c r="A22" s="1" t="s">
        <v>18</v>
      </c>
      <c r="B22" s="2">
        <v>46143</v>
      </c>
      <c r="C22" s="1">
        <v>1</v>
      </c>
      <c r="D22" s="1">
        <v>1455</v>
      </c>
      <c r="E22" s="1">
        <v>1455</v>
      </c>
    </row>
    <row r="23" spans="1:5">
      <c r="A23" s="1" t="s">
        <v>18</v>
      </c>
      <c r="B23" s="2">
        <v>46174</v>
      </c>
      <c r="C23" s="1">
        <v>3</v>
      </c>
      <c r="D23" s="1">
        <v>5912</v>
      </c>
      <c r="E23" s="1">
        <v>1970.6666666666599</v>
      </c>
    </row>
    <row r="24" spans="1:5">
      <c r="A24" s="1" t="s">
        <v>16</v>
      </c>
      <c r="B24" s="2">
        <v>46023</v>
      </c>
      <c r="C24" s="1">
        <v>25</v>
      </c>
      <c r="D24" s="1">
        <v>37468</v>
      </c>
      <c r="E24" s="1">
        <v>1498.72</v>
      </c>
    </row>
    <row r="25" spans="1:5">
      <c r="A25" s="1" t="s">
        <v>16</v>
      </c>
      <c r="B25" s="2">
        <v>46054</v>
      </c>
      <c r="C25" s="1">
        <v>26</v>
      </c>
      <c r="D25" s="1">
        <v>38819</v>
      </c>
      <c r="E25" s="1">
        <v>1493.0384615384601</v>
      </c>
    </row>
    <row r="26" spans="1:5">
      <c r="A26" s="1" t="s">
        <v>16</v>
      </c>
      <c r="B26" s="2">
        <v>46082</v>
      </c>
      <c r="C26" s="1">
        <v>25</v>
      </c>
      <c r="D26" s="1">
        <v>25803</v>
      </c>
      <c r="E26" s="1">
        <v>1032.1199999999999</v>
      </c>
    </row>
    <row r="27" spans="1:5">
      <c r="A27" s="1" t="s">
        <v>16</v>
      </c>
      <c r="B27" s="2">
        <v>46113</v>
      </c>
      <c r="C27" s="1">
        <v>27</v>
      </c>
      <c r="D27" s="1">
        <v>39368</v>
      </c>
      <c r="E27" s="1">
        <v>1458.07407407407</v>
      </c>
    </row>
    <row r="28" spans="1:5">
      <c r="A28" s="1" t="s">
        <v>16</v>
      </c>
      <c r="B28" s="2">
        <v>46143</v>
      </c>
      <c r="C28" s="1">
        <v>24</v>
      </c>
      <c r="D28" s="1">
        <v>33707</v>
      </c>
      <c r="E28" s="1">
        <v>1404.4583333333301</v>
      </c>
    </row>
    <row r="29" spans="1:5">
      <c r="A29" s="1" t="s">
        <v>16</v>
      </c>
      <c r="B29" s="2">
        <v>46174</v>
      </c>
      <c r="C29" s="1">
        <v>27</v>
      </c>
      <c r="D29" s="1">
        <v>41132</v>
      </c>
      <c r="E29" s="1">
        <v>1523.4074074073999</v>
      </c>
    </row>
    <row r="30" spans="1:5">
      <c r="A30" s="1" t="s">
        <v>17</v>
      </c>
      <c r="B30" s="2">
        <v>46023</v>
      </c>
      <c r="C30" s="1">
        <v>3</v>
      </c>
      <c r="D30" s="1">
        <v>3339</v>
      </c>
      <c r="E30" s="1">
        <v>1113</v>
      </c>
    </row>
    <row r="31" spans="1:5">
      <c r="A31" s="1" t="s">
        <v>17</v>
      </c>
      <c r="B31" s="2">
        <v>46054</v>
      </c>
      <c r="C31" s="1">
        <v>9</v>
      </c>
      <c r="D31" s="1">
        <v>11754</v>
      </c>
      <c r="E31" s="1">
        <v>1306</v>
      </c>
    </row>
    <row r="32" spans="1:5">
      <c r="A32" s="1" t="s">
        <v>17</v>
      </c>
      <c r="B32" s="2">
        <v>46082</v>
      </c>
      <c r="C32" s="1">
        <v>10</v>
      </c>
      <c r="D32" s="1">
        <v>14818</v>
      </c>
      <c r="E32" s="1">
        <v>1481.8</v>
      </c>
    </row>
    <row r="33" spans="1:5">
      <c r="A33" s="1" t="s">
        <v>17</v>
      </c>
      <c r="B33" s="2">
        <v>46113</v>
      </c>
      <c r="C33" s="1">
        <v>8</v>
      </c>
      <c r="D33" s="1">
        <v>10542</v>
      </c>
      <c r="E33" s="1">
        <v>1317.75</v>
      </c>
    </row>
    <row r="34" spans="1:5">
      <c r="A34" s="1" t="s">
        <v>17</v>
      </c>
      <c r="B34" s="2">
        <v>46143</v>
      </c>
      <c r="C34" s="1">
        <v>7</v>
      </c>
      <c r="D34" s="1">
        <v>10130</v>
      </c>
      <c r="E34" s="1">
        <v>1447.1428571428501</v>
      </c>
    </row>
    <row r="35" spans="1:5">
      <c r="A35" s="1" t="s">
        <v>17</v>
      </c>
      <c r="B35" s="2">
        <v>46174</v>
      </c>
      <c r="C35" s="1">
        <v>10</v>
      </c>
      <c r="D35" s="1">
        <v>12834</v>
      </c>
      <c r="E35" s="1">
        <v>1283.4000000000001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10"/>
  <sheetViews>
    <sheetView showGridLines="0" workbookViewId="0"/>
  </sheetViews>
  <sheetFormatPr defaultColWidth="12.5703125" defaultRowHeight="15.75" customHeight="1"/>
  <sheetData>
    <row r="1" spans="1:3" ht="12.75">
      <c r="A1" s="8"/>
      <c r="B1" s="9" t="s">
        <v>28</v>
      </c>
      <c r="C1" s="10"/>
    </row>
    <row r="2" spans="1:3" ht="12.75">
      <c r="A2" s="9" t="s">
        <v>0</v>
      </c>
      <c r="B2" s="8" t="s">
        <v>22</v>
      </c>
      <c r="C2" s="11" t="s">
        <v>24</v>
      </c>
    </row>
    <row r="3" spans="1:3" ht="12.75">
      <c r="A3" s="8" t="s">
        <v>5</v>
      </c>
      <c r="B3" s="12">
        <v>127840</v>
      </c>
      <c r="C3" s="13">
        <v>91</v>
      </c>
    </row>
    <row r="4" spans="1:3" ht="12.75">
      <c r="A4" s="14" t="s">
        <v>12</v>
      </c>
      <c r="B4" s="15">
        <v>19694</v>
      </c>
      <c r="C4" s="16">
        <v>13</v>
      </c>
    </row>
    <row r="5" spans="1:3" ht="12.75">
      <c r="A5" s="14" t="s">
        <v>15</v>
      </c>
      <c r="B5" s="15">
        <v>55123</v>
      </c>
      <c r="C5" s="16">
        <v>42</v>
      </c>
    </row>
    <row r="6" spans="1:3" ht="12.75">
      <c r="A6" s="14" t="s">
        <v>18</v>
      </c>
      <c r="B6" s="15">
        <v>14735</v>
      </c>
      <c r="C6" s="16">
        <v>11</v>
      </c>
    </row>
    <row r="7" spans="1:3" ht="12.75">
      <c r="A7" s="14" t="s">
        <v>16</v>
      </c>
      <c r="B7" s="15">
        <v>216297</v>
      </c>
      <c r="C7" s="16">
        <v>154</v>
      </c>
    </row>
    <row r="8" spans="1:3" ht="12.75">
      <c r="A8" s="14" t="s">
        <v>17</v>
      </c>
      <c r="B8" s="15">
        <v>63417</v>
      </c>
      <c r="C8" s="16">
        <v>47</v>
      </c>
    </row>
    <row r="9" spans="1:3" ht="12.75">
      <c r="A9" s="14" t="s">
        <v>29</v>
      </c>
      <c r="B9" s="15"/>
      <c r="C9" s="16"/>
    </row>
    <row r="10" spans="1:3" ht="15.75" customHeight="1">
      <c r="A10" s="17" t="s">
        <v>26</v>
      </c>
      <c r="B10" s="18">
        <v>497106</v>
      </c>
      <c r="C10" s="19">
        <v>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7"/>
  <sheetViews>
    <sheetView workbookViewId="0"/>
  </sheetViews>
  <sheetFormatPr defaultColWidth="12.5703125" defaultRowHeight="15.75" customHeight="1"/>
  <sheetData>
    <row r="1" spans="1:7">
      <c r="A1" s="1" t="s">
        <v>0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>
      <c r="A2" s="1" t="s">
        <v>11</v>
      </c>
      <c r="B2" s="4">
        <f>'Pivot Table 1'!B7</f>
        <v>216297</v>
      </c>
      <c r="C2" s="4">
        <f>VLOOKUP(A2,'cuisine targets'!$A$2:$B$7,2,FALSE)</f>
        <v>180000</v>
      </c>
      <c r="D2" s="4">
        <f t="shared" ref="D2:D7" si="0">C2-B2</f>
        <v>-36297</v>
      </c>
      <c r="E2" s="4">
        <f t="shared" ref="E2:E7" si="1">((B2-C2)/C2)*100</f>
        <v>20.164999999999999</v>
      </c>
      <c r="F2" s="4" t="str">
        <f t="shared" ref="F2:F7" si="2">IF(B2&gt;=C2,"Above Target",IF((C2-B2)&lt;=C2*0.15,"Below Target - Watch","Below Target - Critical"))</f>
        <v>Above Target</v>
      </c>
      <c r="G2" s="1" t="s">
        <v>19</v>
      </c>
    </row>
    <row r="3" spans="1:7">
      <c r="A3" s="1" t="s">
        <v>20</v>
      </c>
      <c r="B3" s="4">
        <v>127840</v>
      </c>
      <c r="C3" s="4">
        <f>VLOOKUP(A3,'cuisine targets'!$A$2:$B$7,2,FALSE)</f>
        <v>140000</v>
      </c>
      <c r="D3" s="4">
        <f t="shared" si="0"/>
        <v>12160</v>
      </c>
      <c r="E3" s="4">
        <f t="shared" si="1"/>
        <v>-8.6857142857142851</v>
      </c>
      <c r="F3" s="4" t="str">
        <f t="shared" si="2"/>
        <v>Below Target - Watch</v>
      </c>
      <c r="G3" s="1" t="s">
        <v>19</v>
      </c>
    </row>
    <row r="4" spans="1:7">
      <c r="A4" s="1" t="s">
        <v>21</v>
      </c>
      <c r="B4" s="4">
        <f>'Pivot Table 1'!B8</f>
        <v>63417</v>
      </c>
      <c r="C4" s="4">
        <f>VLOOKUP(A4,'cuisine targets'!$A$2:$B$7,2,FALSE)</f>
        <v>50000</v>
      </c>
      <c r="D4" s="4">
        <f t="shared" si="0"/>
        <v>-13417</v>
      </c>
      <c r="E4" s="4">
        <f t="shared" si="1"/>
        <v>26.834000000000003</v>
      </c>
      <c r="F4" s="7" t="str">
        <f t="shared" si="2"/>
        <v>Above Target</v>
      </c>
      <c r="G4" s="1" t="s">
        <v>19</v>
      </c>
    </row>
    <row r="5" spans="1:7">
      <c r="A5" s="1" t="s">
        <v>23</v>
      </c>
      <c r="B5" s="4">
        <v>55123</v>
      </c>
      <c r="C5" s="4">
        <f>VLOOKUP(A5,'cuisine targets'!$A$2:$B$7,2,FALSE)</f>
        <v>60000</v>
      </c>
      <c r="D5" s="4">
        <f t="shared" si="0"/>
        <v>4877</v>
      </c>
      <c r="E5" s="4">
        <f t="shared" si="1"/>
        <v>-8.1283333333333339</v>
      </c>
      <c r="F5" s="7" t="str">
        <f t="shared" si="2"/>
        <v>Below Target - Watch</v>
      </c>
      <c r="G5" s="1" t="s">
        <v>19</v>
      </c>
    </row>
    <row r="6" spans="1:7">
      <c r="A6" s="1" t="s">
        <v>25</v>
      </c>
      <c r="B6" s="4">
        <v>19694</v>
      </c>
      <c r="C6" s="4">
        <f>VLOOKUP(A6,'cuisine targets'!$A$2:$B$7,2,FALSE)</f>
        <v>25000</v>
      </c>
      <c r="D6" s="4">
        <f t="shared" si="0"/>
        <v>5306</v>
      </c>
      <c r="E6" s="4">
        <f t="shared" si="1"/>
        <v>-21.224</v>
      </c>
      <c r="F6" s="7" t="str">
        <f t="shared" si="2"/>
        <v>Below Target - Critical</v>
      </c>
      <c r="G6" s="1" t="s">
        <v>19</v>
      </c>
    </row>
    <row r="7" spans="1:7">
      <c r="A7" s="1" t="s">
        <v>27</v>
      </c>
      <c r="B7" s="4">
        <v>14735</v>
      </c>
      <c r="C7" s="4">
        <f>VLOOKUP(A7,'cuisine targets'!$A$2:$B$7,2,FALSE)</f>
        <v>10000</v>
      </c>
      <c r="D7" s="4">
        <f t="shared" si="0"/>
        <v>-4735</v>
      </c>
      <c r="E7" s="4">
        <f t="shared" si="1"/>
        <v>47.349999999999994</v>
      </c>
      <c r="F7" s="7" t="str">
        <f t="shared" si="2"/>
        <v>Above Target</v>
      </c>
      <c r="G7" s="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7"/>
  <sheetViews>
    <sheetView workbookViewId="0"/>
  </sheetViews>
  <sheetFormatPr defaultColWidth="12.5703125" defaultRowHeight="15.75" customHeight="1"/>
  <sheetData>
    <row r="1" spans="1:2">
      <c r="A1" s="3" t="s">
        <v>13</v>
      </c>
      <c r="B1" s="5" t="s">
        <v>14</v>
      </c>
    </row>
    <row r="2" spans="1:2">
      <c r="A2" s="1" t="s">
        <v>16</v>
      </c>
      <c r="B2" s="6">
        <v>180000</v>
      </c>
    </row>
    <row r="3" spans="1:2">
      <c r="A3" s="1" t="s">
        <v>5</v>
      </c>
      <c r="B3" s="6">
        <v>140000</v>
      </c>
    </row>
    <row r="4" spans="1:2">
      <c r="A4" s="1" t="s">
        <v>17</v>
      </c>
      <c r="B4" s="6">
        <v>50000</v>
      </c>
    </row>
    <row r="5" spans="1:2">
      <c r="A5" s="1" t="s">
        <v>15</v>
      </c>
      <c r="B5" s="6">
        <v>60000</v>
      </c>
    </row>
    <row r="6" spans="1:2">
      <c r="A6" s="1" t="s">
        <v>12</v>
      </c>
      <c r="B6" s="6">
        <v>25000</v>
      </c>
    </row>
    <row r="7" spans="1:2">
      <c r="A7" s="1" t="s">
        <v>18</v>
      </c>
      <c r="B7" s="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data</vt:lpstr>
      <vt:lpstr>Pivot Table 1</vt:lpstr>
      <vt:lpstr>cuisine summary</vt:lpstr>
      <vt:lpstr>cuisine targets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2026-08-09T06:10:13Z</dcterms:created>
  <dcterms:modified xsi:type="dcterms:W3CDTF">2026-08-09T06:18:37Z</dcterms:modified>
</cp:coreProperties>
</file>